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模型对比" sheetId="1" state="visible" r:id="rId3"/>
    <sheet name="训练信息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synthet/eye-pose-v0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Hugging Face</t>
        </r>
        <r>
          <rPr>
            <sz val="10"/>
            <rFont val="Noto Sans CJK SC"/>
            <family val="2"/>
          </rPr>
          <t xml:space="preserve">），</t>
        </r>
        <r>
          <rPr>
            <sz val="10"/>
            <rFont val="Arial"/>
            <family val="2"/>
          </rPr>
          <t xml:space="preserve">YOLO11n-pose</t>
        </r>
        <r>
          <rPr>
            <sz val="10"/>
            <rFont val="Noto Sans CJK SC"/>
            <family val="2"/>
          </rPr>
          <t xml:space="preserve">，</t>
        </r>
        <r>
          <rPr>
            <sz val="10"/>
            <rFont val="Arial"/>
            <family val="2"/>
          </rPr>
          <t xml:space="preserve">6 </t>
        </r>
        <r>
          <rPr>
            <sz val="10"/>
            <rFont val="Noto Sans CJK SC"/>
            <family val="2"/>
          </rPr>
          <t xml:space="preserve">个关键点</t>
        </r>
      </text>
    </comment>
    <comment ref="F4" authorId="0">
      <text>
        <r>
          <rPr>
            <sz val="10"/>
            <rFont val="Noto Sans CJK SC"/>
            <family val="2"/>
          </rPr>
          <t xml:space="preserve">本次在 </t>
        </r>
        <r>
          <rPr>
            <sz val="10"/>
            <rFont val="Arial"/>
            <family val="2"/>
          </rPr>
          <t xml:space="preserve">Mac GPU </t>
        </r>
        <r>
          <rPr>
            <sz val="10"/>
            <rFont val="Noto Sans CJK SC"/>
            <family val="2"/>
          </rPr>
          <t xml:space="preserve">上训练：</t>
        </r>
        <r>
          <rPr>
            <sz val="10"/>
            <rFont val="Arial"/>
            <family val="2"/>
          </rPr>
          <t xml:space="preserve">YOLO11s-pose</t>
        </r>
        <r>
          <rPr>
            <sz val="10"/>
            <rFont val="Noto Sans CJK SC"/>
            <family val="2"/>
          </rPr>
          <t xml:space="preserve">，</t>
        </r>
        <r>
          <rPr>
            <sz val="10"/>
            <rFont val="Arial"/>
            <family val="2"/>
          </rPr>
          <t xml:space="preserve">15 </t>
        </r>
        <r>
          <rPr>
            <sz val="10"/>
            <rFont val="Noto Sans CJK SC"/>
            <family val="2"/>
          </rPr>
          <t xml:space="preserve">个 </t>
        </r>
        <r>
          <rPr>
            <sz val="10"/>
            <rFont val="Arial"/>
            <family val="2"/>
          </rPr>
          <t xml:space="preserve">CUB </t>
        </r>
        <r>
          <rPr>
            <sz val="10"/>
            <rFont val="Noto Sans CJK SC"/>
            <family val="2"/>
          </rPr>
          <t xml:space="preserve">关键点，</t>
        </r>
        <r>
          <rPr>
            <sz val="10"/>
            <rFont val="Arial"/>
            <family val="2"/>
          </rPr>
          <t xml:space="preserve">30 </t>
        </r>
        <r>
          <rPr>
            <sz val="10"/>
            <rFont val="Noto Sans CJK SC"/>
            <family val="2"/>
          </rPr>
          <t xml:space="preserve">轮</t>
        </r>
      </text>
    </comment>
  </commentList>
</comments>
</file>

<file path=xl/sharedStrings.xml><?xml version="1.0" encoding="utf-8"?>
<sst xmlns="http://schemas.openxmlformats.org/spreadsheetml/2006/main" count="90" uniqueCount="62">
  <si>
    <r>
      <rPr>
        <b val="true"/>
        <sz val="14"/>
        <rFont val="Noto Sans CJK SC"/>
        <family val="2"/>
      </rPr>
      <t xml:space="preserve">鸟眼定位模型对比（</t>
    </r>
    <r>
      <rPr>
        <b val="true"/>
        <sz val="14"/>
        <rFont val="Arial"/>
        <family val="0"/>
        <charset val="1"/>
      </rPr>
      <t xml:space="preserve">CUB-200-2011 </t>
    </r>
    <r>
      <rPr>
        <b val="true"/>
        <sz val="14"/>
        <rFont val="Noto Sans CJK SC"/>
        <family val="2"/>
      </rPr>
      <t xml:space="preserve">验证集，</t>
    </r>
    <r>
      <rPr>
        <b val="true"/>
        <sz val="14"/>
        <rFont val="Arial"/>
        <family val="0"/>
        <charset val="1"/>
      </rPr>
      <t xml:space="preserve">1000 </t>
    </r>
    <r>
      <rPr>
        <b val="true"/>
        <sz val="14"/>
        <rFont val="Noto Sans CJK SC"/>
        <family val="2"/>
      </rPr>
      <t xml:space="preserve">张）</t>
    </r>
  </si>
  <si>
    <r>
      <rPr>
        <i val="true"/>
        <sz val="11"/>
        <color rgb="FF595959"/>
        <rFont val="Noto Sans CJK SC"/>
        <family val="2"/>
      </rPr>
      <t xml:space="preserve">误差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预测点与标注点的距离 </t>
    </r>
    <r>
      <rPr>
        <i val="true"/>
        <sz val="11"/>
        <color rgb="FF595959"/>
        <rFont val="Arial"/>
        <family val="0"/>
        <charset val="1"/>
      </rPr>
      <t xml:space="preserve">÷ </t>
    </r>
    <r>
      <rPr>
        <i val="true"/>
        <sz val="11"/>
        <color rgb="FF595959"/>
        <rFont val="Noto Sans CJK SC"/>
        <family val="2"/>
      </rPr>
      <t xml:space="preserve">鸟身框对角线长度；</t>
    </r>
    <r>
      <rPr>
        <i val="true"/>
        <sz val="11"/>
        <color rgb="FF595959"/>
        <rFont val="Arial"/>
        <family val="0"/>
        <charset val="1"/>
      </rPr>
      <t xml:space="preserve">PCK@x = </t>
    </r>
    <r>
      <rPr>
        <i val="true"/>
        <sz val="11"/>
        <color rgb="FF595959"/>
        <rFont val="Noto Sans CJK SC"/>
        <family val="2"/>
      </rPr>
      <t xml:space="preserve">误差小于 </t>
    </r>
    <r>
      <rPr>
        <i val="true"/>
        <sz val="11"/>
        <color rgb="FF595959"/>
        <rFont val="Arial"/>
        <family val="0"/>
        <charset val="1"/>
      </rPr>
      <t xml:space="preserve">x </t>
    </r>
    <r>
      <rPr>
        <i val="true"/>
        <sz val="11"/>
        <color rgb="FF595959"/>
        <rFont val="Noto Sans CJK SC"/>
        <family val="2"/>
      </rPr>
      <t xml:space="preserve">的样本比例。蓝色数字为评测结果（输入值），黑色为公式。</t>
    </r>
  </si>
  <si>
    <t xml:space="preserve">部位</t>
  </si>
  <si>
    <t xml:space="preserve">指标</t>
  </si>
  <si>
    <t xml:space="preserve">指标方向</t>
  </si>
  <si>
    <t xml:space="preserve">样本数</t>
  </si>
  <si>
    <r>
      <rPr>
        <b val="true"/>
        <sz val="11"/>
        <color rgb="FFFFFFFF"/>
        <rFont val="Noto Sans CJK SC"/>
        <family val="2"/>
      </rPr>
      <t xml:space="preserve">现用模型（</t>
    </r>
    <r>
      <rPr>
        <b val="true"/>
        <sz val="11"/>
        <color rgb="FFFFFFFF"/>
        <rFont val="Arial"/>
        <family val="0"/>
        <charset val="1"/>
      </rPr>
      <t xml:space="preserve">6 </t>
    </r>
    <r>
      <rPr>
        <b val="true"/>
        <sz val="11"/>
        <color rgb="FFFFFFFF"/>
        <rFont val="Noto Sans CJK SC"/>
        <family val="2"/>
      </rPr>
      <t xml:space="preserve">点，</t>
    </r>
    <r>
      <rPr>
        <b val="true"/>
        <sz val="11"/>
        <color rgb="FFFFFFFF"/>
        <rFont val="Arial"/>
        <family val="0"/>
        <charset val="1"/>
      </rPr>
      <t xml:space="preserve">YOLO11n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</si>
  <si>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新训练模型（</t>
    </r>
    <r>
      <rPr>
        <b val="true"/>
        <sz val="11"/>
        <color rgb="FFFFFFFF"/>
        <rFont val="Arial"/>
        <family val="0"/>
        <charset val="1"/>
      </rPr>
      <t xml:space="preserve">15 </t>
    </r>
    <r>
      <rPr>
        <b val="true"/>
        <sz val="11"/>
        <color rgb="FFFFFFFF"/>
        <rFont val="Noto Sans CJK SC"/>
        <family val="2"/>
      </rPr>
      <t xml:space="preserve">点，</t>
    </r>
    <r>
      <rPr>
        <b val="true"/>
        <sz val="11"/>
        <color rgb="FFFFFFFF"/>
        <rFont val="Arial"/>
        <family val="0"/>
        <charset val="1"/>
      </rPr>
      <t xml:space="preserve">YOLO11s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</si>
  <si>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差值（新 − 现用）</t>
  </si>
  <si>
    <t xml:space="preserve">相对变化</t>
  </si>
  <si>
    <t xml:space="preserve">更优</t>
  </si>
  <si>
    <t xml:space="preserve">鸟眼</t>
  </si>
  <si>
    <t xml:space="preserve">误差中位数</t>
  </si>
  <si>
    <t xml:space="preserve">越小越好</t>
  </si>
  <si>
    <t xml:space="preserve">误差平均值</t>
  </si>
  <si>
    <t xml:space="preserve">PCK@0.03</t>
  </si>
  <si>
    <t xml:space="preserve">越大越好</t>
  </si>
  <si>
    <t xml:space="preserve">PCK@0.05</t>
  </si>
  <si>
    <t xml:space="preserve">喙</t>
  </si>
  <si>
    <t xml:space="preserve">头顶</t>
  </si>
  <si>
    <t xml:space="preserve">汇总</t>
  </si>
  <si>
    <t xml:space="preserve">现用模型更优的指标数</t>
  </si>
  <si>
    <t xml:space="preserve">新模型更优的指标数</t>
  </si>
  <si>
    <t xml:space="preserve">结论</t>
  </si>
  <si>
    <t xml:space="preserve">说明：</t>
  </si>
  <si>
    <r>
      <rPr>
        <sz val="11"/>
        <color rgb="FF595959"/>
        <rFont val="Arial"/>
        <family val="0"/>
        <charset val="1"/>
      </rPr>
      <t xml:space="preserve">1. </t>
    </r>
    <r>
      <rPr>
        <sz val="11"/>
        <color rgb="FF595959"/>
        <rFont val="Noto Sans CJK SC"/>
        <family val="2"/>
      </rPr>
      <t xml:space="preserve">数据来源：</t>
    </r>
    <r>
      <rPr>
        <sz val="11"/>
        <color rgb="FF595959"/>
        <rFont val="Arial"/>
        <family val="0"/>
        <charset val="1"/>
      </rPr>
      <t xml:space="preserve">tools/train/eval_pose.py</t>
    </r>
    <r>
      <rPr>
        <sz val="11"/>
        <color rgb="FF595959"/>
        <rFont val="Noto Sans CJK SC"/>
        <family val="2"/>
      </rPr>
      <t xml:space="preserve">，在 </t>
    </r>
    <r>
      <rPr>
        <sz val="11"/>
        <color rgb="FF595959"/>
        <rFont val="Arial"/>
        <family val="0"/>
        <charset val="1"/>
      </rPr>
      <t xml:space="preserve">CUB-200-2011 </t>
    </r>
    <r>
      <rPr>
        <sz val="11"/>
        <color rgb="FF595959"/>
        <rFont val="Noto Sans CJK SC"/>
        <family val="2"/>
      </rPr>
      <t xml:space="preserve">官方测试划分中随机抽取的 </t>
    </r>
    <r>
      <rPr>
        <sz val="11"/>
        <color rgb="FF595959"/>
        <rFont val="Arial"/>
        <family val="0"/>
        <charset val="1"/>
      </rPr>
      <t xml:space="preserve">1000 </t>
    </r>
    <r>
      <rPr>
        <sz val="11"/>
        <color rgb="FF595959"/>
        <rFont val="Noto Sans CJK SC"/>
        <family val="2"/>
      </rPr>
      <t xml:space="preserve">张鸟体裁剪图上评测（</t>
    </r>
    <r>
      <rPr>
        <sz val="11"/>
        <color rgb="FF595959"/>
        <rFont val="Arial"/>
        <family val="0"/>
        <charset val="1"/>
      </rPr>
      <t xml:space="preserve">2026-10-13</t>
    </r>
    <r>
      <rPr>
        <sz val="11"/>
        <color rgb="FF595959"/>
        <rFont val="Noto Sans CJK SC"/>
        <family val="2"/>
      </rPr>
      <t xml:space="preserve">）。</t>
    </r>
  </si>
  <si>
    <r>
      <rPr>
        <sz val="11"/>
        <color rgb="FF595959"/>
        <rFont val="Arial"/>
        <family val="0"/>
        <charset val="1"/>
      </rPr>
      <t xml:space="preserve">2. </t>
    </r>
    <r>
      <rPr>
        <sz val="11"/>
        <color rgb="FF595959"/>
        <rFont val="Noto Sans CJK SC"/>
        <family val="2"/>
      </rPr>
      <t xml:space="preserve">现用模型 </t>
    </r>
    <r>
      <rPr>
        <sz val="11"/>
        <color rgb="FF595959"/>
        <rFont val="Arial"/>
        <family val="0"/>
        <charset val="1"/>
      </rPr>
      <t xml:space="preserve">eye-pose-v0 </t>
    </r>
    <r>
      <rPr>
        <sz val="11"/>
        <color rgb="FF595959"/>
        <rFont val="Noto Sans CJK SC"/>
        <family val="2"/>
      </rPr>
      <t xml:space="preserve">由第三方发布，其训练集很可能包含这批测试图，因此它的成绩可能偏高。</t>
    </r>
  </si>
  <si>
    <r>
      <rPr>
        <sz val="11"/>
        <color rgb="FF595959"/>
        <rFont val="Arial"/>
        <family val="0"/>
        <charset val="1"/>
      </rPr>
      <t xml:space="preserve">3. </t>
    </r>
    <r>
      <rPr>
        <sz val="11"/>
        <color rgb="FF595959"/>
        <rFont val="Noto Sans CJK SC"/>
        <family val="2"/>
      </rPr>
      <t xml:space="preserve">现用模型的“头顶”对应其 </t>
    </r>
    <r>
      <rPr>
        <sz val="11"/>
        <color rgb="FF595959"/>
        <rFont val="Arial"/>
        <family val="0"/>
        <charset val="1"/>
      </rPr>
      <t xml:space="preserve">head_top </t>
    </r>
    <r>
      <rPr>
        <sz val="11"/>
        <color rgb="FF595959"/>
        <rFont val="Noto Sans CJK SC"/>
        <family val="2"/>
      </rPr>
      <t xml:space="preserve">关键点；鸟眼取左右眼中置信度更高的一个，与任一可见眼的标注比较。</t>
    </r>
  </si>
  <si>
    <r>
      <rPr>
        <sz val="11"/>
        <color rgb="FF595959"/>
        <rFont val="Arial"/>
        <family val="0"/>
        <charset val="1"/>
      </rPr>
      <t xml:space="preserve">4. </t>
    </r>
    <r>
      <rPr>
        <sz val="11"/>
        <color rgb="FF595959"/>
        <rFont val="Noto Sans CJK SC"/>
        <family val="2"/>
      </rPr>
      <t xml:space="preserve">改动蓝色数字后，差值、相对变化、更优和汇总会自动重新计算。</t>
    </r>
  </si>
  <si>
    <t xml:space="preserve">项目</t>
  </si>
  <si>
    <t xml:space="preserve">现用模型</t>
  </si>
  <si>
    <t xml:space="preserve">新训练模型</t>
  </si>
  <si>
    <t xml:space="preserve">模型来源</t>
  </si>
  <si>
    <r>
      <rPr>
        <sz val="11"/>
        <rFont val="Arial"/>
        <family val="0"/>
        <charset val="1"/>
      </rPr>
      <t xml:space="preserve">synthet/eye-pose-v0</t>
    </r>
    <r>
      <rPr>
        <sz val="11"/>
        <rFont val="Noto Sans CJK SC"/>
        <family val="2"/>
      </rPr>
      <t xml:space="preserve">（第三方发布）</t>
    </r>
  </si>
  <si>
    <r>
      <rPr>
        <sz val="11"/>
        <rFont val="Noto Sans CJK SC"/>
        <family val="2"/>
      </rPr>
      <t xml:space="preserve">本机训练（</t>
    </r>
    <r>
      <rPr>
        <sz val="11"/>
        <rFont val="Arial"/>
        <family val="0"/>
        <charset val="1"/>
      </rPr>
      <t xml:space="preserve">tools/train/train_pose.py</t>
    </r>
    <r>
      <rPr>
        <sz val="11"/>
        <rFont val="Noto Sans CJK SC"/>
        <family val="2"/>
      </rPr>
      <t xml:space="preserve">）</t>
    </r>
  </si>
  <si>
    <t xml:space="preserve">网络结构</t>
  </si>
  <si>
    <t xml:space="preserve">YOLO11n-pose</t>
  </si>
  <si>
    <t xml:space="preserve">YOLO11s-pose</t>
  </si>
  <si>
    <t xml:space="preserve">关键点数</t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</si>
  <si>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（喙、左右眼、头顶、左右肩）</t>
    </r>
  </si>
  <si>
    <r>
      <rPr>
        <sz val="11"/>
        <rFont val="Arial"/>
        <family val="0"/>
        <charset val="1"/>
      </rPr>
      <t xml:space="preserve">15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CUB </t>
    </r>
    <r>
      <rPr>
        <sz val="11"/>
        <rFont val="Noto Sans CJK SC"/>
        <family val="2"/>
      </rPr>
      <t xml:space="preserve">全部部位）</t>
    </r>
  </si>
  <si>
    <t xml:space="preserve">训练轮数</t>
  </si>
  <si>
    <r>
      <rPr>
        <sz val="11"/>
        <rFont val="Arial"/>
        <family val="0"/>
        <charset val="1"/>
      </rPr>
      <t xml:space="preserve">100</t>
    </r>
    <r>
      <rPr>
        <sz val="11"/>
        <rFont val="Noto Sans CJK SC"/>
        <family val="2"/>
      </rPr>
      <t xml:space="preserve">（发布者说明）</t>
    </r>
  </si>
  <si>
    <t xml:space="preserve">30</t>
  </si>
  <si>
    <t xml:space="preserve">训练图片</t>
  </si>
  <si>
    <r>
      <rPr>
        <sz val="11"/>
        <rFont val="Noto Sans CJK SC"/>
        <family val="2"/>
      </rPr>
      <t xml:space="preserve">约 </t>
    </r>
    <r>
      <rPr>
        <sz val="11"/>
        <rFont val="Arial"/>
        <family val="0"/>
        <charset val="1"/>
      </rPr>
      <t xml:space="preserve">10k</t>
    </r>
    <r>
      <rPr>
        <sz val="11"/>
        <rFont val="Noto Sans CJK SC"/>
        <family val="2"/>
      </rPr>
      <t xml:space="preserve">（发布者说明）</t>
    </r>
  </si>
  <si>
    <r>
      <rPr>
        <sz val="11"/>
        <rFont val="Arial"/>
        <family val="0"/>
        <charset val="1"/>
      </rPr>
      <t xml:space="preserve">5994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CUB </t>
    </r>
    <r>
      <rPr>
        <sz val="11"/>
        <rFont val="Noto Sans CJK SC"/>
        <family val="2"/>
      </rPr>
      <t xml:space="preserve">官方训练划分，鸟体裁剪）</t>
    </r>
  </si>
  <si>
    <t xml:space="preserve">输入尺寸</t>
  </si>
  <si>
    <t xml:space="preserve">640</t>
  </si>
  <si>
    <r>
      <rPr>
        <b val="true"/>
        <sz val="11"/>
        <rFont val="Noto Sans CJK SC"/>
        <family val="2"/>
      </rPr>
      <t xml:space="preserve">验证集 </t>
    </r>
    <r>
      <rPr>
        <b val="true"/>
        <sz val="11"/>
        <rFont val="Arial"/>
        <family val="0"/>
        <charset val="1"/>
      </rPr>
      <t xml:space="preserve">Pose mAP50</t>
    </r>
  </si>
  <si>
    <r>
      <rPr>
        <sz val="11"/>
        <rFont val="Arial"/>
        <family val="0"/>
        <charset val="1"/>
      </rPr>
      <t xml:space="preserve">0.994</t>
    </r>
    <r>
      <rPr>
        <sz val="11"/>
        <rFont val="Noto Sans CJK SC"/>
        <family val="2"/>
      </rPr>
      <t xml:space="preserve">（发布者自己的验证集）</t>
    </r>
  </si>
  <si>
    <r>
      <rPr>
        <sz val="11"/>
        <rFont val="Arial"/>
        <family val="0"/>
        <charset val="1"/>
      </rPr>
      <t xml:space="preserve">0.982</t>
    </r>
    <r>
      <rPr>
        <sz val="11"/>
        <rFont val="Noto Sans CJK SC"/>
        <family val="2"/>
      </rPr>
      <t xml:space="preserve">（本次 </t>
    </r>
    <r>
      <rPr>
        <sz val="11"/>
        <rFont val="Arial"/>
        <family val="0"/>
        <charset val="1"/>
      </rPr>
      <t xml:space="preserve">1000 </t>
    </r>
    <r>
      <rPr>
        <sz val="11"/>
        <rFont val="Noto Sans CJK SC"/>
        <family val="2"/>
      </rPr>
      <t xml:space="preserve">张验证集）</t>
    </r>
  </si>
  <si>
    <r>
      <rPr>
        <b val="true"/>
        <sz val="11"/>
        <rFont val="Noto Sans CJK SC"/>
        <family val="2"/>
      </rPr>
      <t xml:space="preserve">验证集 </t>
    </r>
    <r>
      <rPr>
        <b val="true"/>
        <sz val="11"/>
        <rFont val="Arial"/>
        <family val="0"/>
        <charset val="1"/>
      </rPr>
      <t xml:space="preserve">Pose mAP50-95</t>
    </r>
  </si>
  <si>
    <r>
      <rPr>
        <sz val="11"/>
        <rFont val="Arial"/>
        <family val="0"/>
        <charset val="1"/>
      </rPr>
      <t xml:space="preserve">0.983</t>
    </r>
    <r>
      <rPr>
        <sz val="11"/>
        <rFont val="Noto Sans CJK SC"/>
        <family val="2"/>
      </rPr>
      <t xml:space="preserve">（发布者自己的验证集）</t>
    </r>
  </si>
  <si>
    <r>
      <rPr>
        <sz val="11"/>
        <rFont val="Arial"/>
        <family val="0"/>
        <charset val="1"/>
      </rPr>
      <t xml:space="preserve">0.681</t>
    </r>
    <r>
      <rPr>
        <sz val="11"/>
        <rFont val="Noto Sans CJK SC"/>
        <family val="2"/>
      </rPr>
      <t xml:space="preserve">（本次 </t>
    </r>
    <r>
      <rPr>
        <sz val="11"/>
        <rFont val="Arial"/>
        <family val="0"/>
        <charset val="1"/>
      </rPr>
      <t xml:space="preserve">1000 </t>
    </r>
    <r>
      <rPr>
        <sz val="11"/>
        <rFont val="Noto Sans CJK SC"/>
        <family val="2"/>
      </rPr>
      <t xml:space="preserve">张验证集，含翅膀、腿等难点位）</t>
    </r>
  </si>
  <si>
    <t xml:space="preserve">训练耗时</t>
  </si>
  <si>
    <t xml:space="preserve">—</t>
  </si>
  <si>
    <r>
      <rPr>
        <sz val="11"/>
        <rFont val="Noto Sans CJK SC"/>
        <family val="2"/>
      </rPr>
      <t xml:space="preserve">约 </t>
    </r>
    <r>
      <rPr>
        <sz val="11"/>
        <rFont val="Arial"/>
        <family val="0"/>
        <charset val="1"/>
      </rPr>
      <t xml:space="preserve">2.5 </t>
    </r>
    <r>
      <rPr>
        <sz val="11"/>
        <rFont val="Noto Sans CJK SC"/>
        <family val="2"/>
      </rPr>
      <t xml:space="preserve">小时（</t>
    </r>
    <r>
      <rPr>
        <sz val="11"/>
        <rFont val="Arial"/>
        <family val="0"/>
        <charset val="1"/>
      </rPr>
      <t xml:space="preserve">M5 Pro GPU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</si>
  <si>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Arial"/>
        <family val="0"/>
        <charset val="1"/>
      </rPr>
      <t xml:space="preserve">App </t>
    </r>
    <r>
      <rPr>
        <b val="true"/>
        <sz val="11"/>
        <rFont val="Noto Sans CJK SC"/>
        <family val="2"/>
      </rPr>
      <t xml:space="preserve">当前使用</t>
    </r>
  </si>
  <si>
    <t xml:space="preserve">是</t>
  </si>
  <si>
    <r>
      <rPr>
        <sz val="11"/>
        <rFont val="Noto Sans CJK SC"/>
        <family val="2"/>
      </rPr>
      <t xml:space="preserve">否（权重保存在 </t>
    </r>
    <r>
      <rPr>
        <sz val="11"/>
        <rFont val="Arial"/>
        <family val="0"/>
        <charset val="1"/>
      </rPr>
      <t xml:space="preserve">tools/train/runs/</t>
    </r>
    <r>
      <rPr>
        <sz val="11"/>
        <rFont val="Noto Sans CJK SC"/>
        <family val="2"/>
      </rPr>
      <t xml:space="preserve">）</t>
    </r>
  </si>
  <si>
    <r>
      <rPr>
        <i val="true"/>
        <sz val="11"/>
        <color rgb="FF595959"/>
        <rFont val="Noto Sans CJK SC"/>
        <family val="2"/>
      </rPr>
      <t xml:space="preserve">注：两边的 </t>
    </r>
    <r>
      <rPr>
        <i val="true"/>
        <sz val="11"/>
        <color rgb="FF595959"/>
        <rFont val="Arial"/>
        <family val="0"/>
        <charset val="1"/>
      </rPr>
      <t xml:space="preserve">mAP </t>
    </r>
    <r>
      <rPr>
        <i val="true"/>
        <sz val="11"/>
        <color rgb="FF595959"/>
        <rFont val="Noto Sans CJK SC"/>
        <family val="2"/>
      </rPr>
      <t xml:space="preserve">来自不同验证集，不能直接比较；可比的数字见「模型对比」表。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</si>
</sst>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\+0.00%;\-0.00%;0.00%"/>
    <numFmt numFmtId="167" formatCode="\+0.0%;\-0.0%;0.0%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11"/>
      <color rgb="FF595959"/>
      <name val="Noto Sans CJK SC"/>
      <family val="2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sz val="11"/>
      <color rgb="FF595959"/>
      <name val="Noto Sans CJK SC"/>
      <family val="2"/>
    </font>
    <font>
      <sz val="11"/>
      <color rgb="FF595959"/>
      <name val="Arial"/>
      <family val="0"/>
      <charset val="1"/>
    </font>
    <font>
      <sz val="10"/>
      <name val="Arial"/>
      <family val="2"/>
    </font>
    <font>
      <sz val="10"/>
      <name val="Noto Sans CJK SC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F5F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2F4F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7"/>
    <col collapsed="false" customWidth="true" hidden="false" outlineLevel="0" max="9" min="8" style="0" width="11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7.15" hidden="false" customHeight="false" outlineLevel="0" collapsed="false">
      <c r="A5" s="4" t="s">
        <v>11</v>
      </c>
      <c r="B5" s="4" t="s">
        <v>12</v>
      </c>
      <c r="C5" s="5" t="s">
        <v>13</v>
      </c>
      <c r="D5" s="6" t="n">
        <v>978</v>
      </c>
      <c r="E5" s="7" t="n">
        <v>0.015</v>
      </c>
      <c r="F5" s="7" t="n">
        <v>0.0174</v>
      </c>
      <c r="G5" s="8" t="n">
        <f aca="false">F5-E5</f>
        <v>0.0024</v>
      </c>
      <c r="H5" s="9" t="n">
        <f aca="false">IF(E5=0,"-",(F5-E5)/E5)</f>
        <v>0.16</v>
      </c>
      <c r="I5" s="5" t="str">
        <f aca="false">IF(F5=E5,"持平",IF(C5="越小越好",IF(F5&lt;E5,"新模型","现用模型"),IF(F5&gt;E5,"新模型","现用模型")))</f>
        <v>现用模型</v>
      </c>
    </row>
    <row r="6" customFormat="false" ht="17.15" hidden="false" customHeight="false" outlineLevel="0" collapsed="false">
      <c r="A6" s="4" t="s">
        <v>11</v>
      </c>
      <c r="B6" s="4" t="s">
        <v>14</v>
      </c>
      <c r="C6" s="5" t="s">
        <v>13</v>
      </c>
      <c r="D6" s="6" t="n">
        <v>978</v>
      </c>
      <c r="E6" s="7" t="n">
        <v>0.0174</v>
      </c>
      <c r="F6" s="7" t="n">
        <v>0.0206</v>
      </c>
      <c r="G6" s="8" t="n">
        <f aca="false">F6-E6</f>
        <v>0.0032</v>
      </c>
      <c r="H6" s="9" t="n">
        <f aca="false">IF(E6=0,"-",(F6-E6)/E6)</f>
        <v>0.183908045977012</v>
      </c>
      <c r="I6" s="5" t="str">
        <f aca="false">IF(F6=E6,"持平",IF(C6="越小越好",IF(F6&lt;E6,"新模型","现用模型"),IF(F6&gt;E6,"新模型","现用模型")))</f>
        <v>现用模型</v>
      </c>
    </row>
    <row r="7" customFormat="false" ht="17.15" hidden="false" customHeight="false" outlineLevel="0" collapsed="false">
      <c r="A7" s="4" t="s">
        <v>11</v>
      </c>
      <c r="B7" s="10" t="s">
        <v>15</v>
      </c>
      <c r="C7" s="5" t="s">
        <v>16</v>
      </c>
      <c r="D7" s="6" t="n">
        <v>978</v>
      </c>
      <c r="E7" s="11" t="n">
        <v>0.888</v>
      </c>
      <c r="F7" s="11" t="n">
        <v>0.845</v>
      </c>
      <c r="G7" s="9" t="n">
        <f aca="false">F7-E7</f>
        <v>-0.043</v>
      </c>
      <c r="H7" s="9" t="n">
        <f aca="false">IF(E7=0,"-",(F7-E7)/E7)</f>
        <v>-0.0484234234234235</v>
      </c>
      <c r="I7" s="5" t="str">
        <f aca="false">IF(F7=E7,"持平",IF(C7="越小越好",IF(F7&lt;E7,"新模型","现用模型"),IF(F7&gt;E7,"新模型","现用模型")))</f>
        <v>现用模型</v>
      </c>
    </row>
    <row r="8" customFormat="false" ht="17.15" hidden="false" customHeight="false" outlineLevel="0" collapsed="false">
      <c r="A8" s="4" t="s">
        <v>11</v>
      </c>
      <c r="B8" s="10" t="s">
        <v>17</v>
      </c>
      <c r="C8" s="5" t="s">
        <v>16</v>
      </c>
      <c r="D8" s="6" t="n">
        <v>978</v>
      </c>
      <c r="E8" s="11" t="n">
        <v>0.985</v>
      </c>
      <c r="F8" s="11" t="n">
        <v>0.965</v>
      </c>
      <c r="G8" s="9" t="n">
        <f aca="false">F8-E8</f>
        <v>-0.02</v>
      </c>
      <c r="H8" s="9" t="n">
        <f aca="false">IF(E8=0,"-",(F8-E8)/E8)</f>
        <v>-0.0203045685279188</v>
      </c>
      <c r="I8" s="5" t="str">
        <f aca="false">IF(F8=E8,"持平",IF(C8="越小越好",IF(F8&lt;E8,"新模型","现用模型"),IF(F8&gt;E8,"新模型","现用模型")))</f>
        <v>现用模型</v>
      </c>
    </row>
    <row r="9" customFormat="false" ht="17.15" hidden="false" customHeight="false" outlineLevel="0" collapsed="false">
      <c r="A9" s="4" t="s">
        <v>18</v>
      </c>
      <c r="B9" s="4" t="s">
        <v>12</v>
      </c>
      <c r="C9" s="5" t="s">
        <v>13</v>
      </c>
      <c r="D9" s="6" t="n">
        <v>995</v>
      </c>
      <c r="E9" s="7" t="n">
        <v>0.0171</v>
      </c>
      <c r="F9" s="7" t="n">
        <v>0.0234</v>
      </c>
      <c r="G9" s="8" t="n">
        <f aca="false">F9-E9</f>
        <v>0.0063</v>
      </c>
      <c r="H9" s="9" t="n">
        <f aca="false">IF(E9=0,"-",(F9-E9)/E9)</f>
        <v>0.368421052631579</v>
      </c>
      <c r="I9" s="5" t="str">
        <f aca="false">IF(F9=E9,"持平",IF(C9="越小越好",IF(F9&lt;E9,"新模型","现用模型"),IF(F9&gt;E9,"新模型","现用模型")))</f>
        <v>现用模型</v>
      </c>
    </row>
    <row r="10" customFormat="false" ht="17.15" hidden="false" customHeight="false" outlineLevel="0" collapsed="false">
      <c r="A10" s="4" t="s">
        <v>18</v>
      </c>
      <c r="B10" s="4" t="s">
        <v>14</v>
      </c>
      <c r="C10" s="5" t="s">
        <v>13</v>
      </c>
      <c r="D10" s="6" t="n">
        <v>995</v>
      </c>
      <c r="E10" s="7" t="n">
        <v>0.0202</v>
      </c>
      <c r="F10" s="7" t="n">
        <v>0.0285</v>
      </c>
      <c r="G10" s="8" t="n">
        <f aca="false">F10-E10</f>
        <v>0.0083</v>
      </c>
      <c r="H10" s="9" t="n">
        <f aca="false">IF(E10=0,"-",(F10-E10)/E10)</f>
        <v>0.410891089108911</v>
      </c>
      <c r="I10" s="5" t="str">
        <f aca="false">IF(F10=E10,"持平",IF(C10="越小越好",IF(F10&lt;E10,"新模型","现用模型"),IF(F10&gt;E10,"新模型","现用模型")))</f>
        <v>现用模型</v>
      </c>
    </row>
    <row r="11" customFormat="false" ht="17.15" hidden="false" customHeight="false" outlineLevel="0" collapsed="false">
      <c r="A11" s="4" t="s">
        <v>18</v>
      </c>
      <c r="B11" s="10" t="s">
        <v>15</v>
      </c>
      <c r="C11" s="5" t="s">
        <v>16</v>
      </c>
      <c r="D11" s="6" t="n">
        <v>995</v>
      </c>
      <c r="E11" s="11" t="n">
        <v>0.838</v>
      </c>
      <c r="F11" s="11" t="n">
        <v>0.652</v>
      </c>
      <c r="G11" s="9" t="n">
        <f aca="false">F11-E11</f>
        <v>-0.186</v>
      </c>
      <c r="H11" s="9" t="n">
        <f aca="false">IF(E11=0,"-",(F11-E11)/E11)</f>
        <v>-0.221957040572792</v>
      </c>
      <c r="I11" s="5" t="str">
        <f aca="false">IF(F11=E11,"持平",IF(C11="越小越好",IF(F11&lt;E11,"新模型","现用模型"),IF(F11&gt;E11,"新模型","现用模型")))</f>
        <v>现用模型</v>
      </c>
    </row>
    <row r="12" customFormat="false" ht="17.15" hidden="false" customHeight="false" outlineLevel="0" collapsed="false">
      <c r="A12" s="4" t="s">
        <v>18</v>
      </c>
      <c r="B12" s="10" t="s">
        <v>17</v>
      </c>
      <c r="C12" s="5" t="s">
        <v>16</v>
      </c>
      <c r="D12" s="6" t="n">
        <v>995</v>
      </c>
      <c r="E12" s="11" t="n">
        <v>0.967</v>
      </c>
      <c r="F12" s="11" t="n">
        <v>0.894</v>
      </c>
      <c r="G12" s="9" t="n">
        <f aca="false">F12-E12</f>
        <v>-0.073</v>
      </c>
      <c r="H12" s="9" t="n">
        <f aca="false">IF(E12=0,"-",(F12-E12)/E12)</f>
        <v>-0.0754912099276111</v>
      </c>
      <c r="I12" s="5" t="str">
        <f aca="false">IF(F12=E12,"持平",IF(C12="越小越好",IF(F12&lt;E12,"新模型","现用模型"),IF(F12&gt;E12,"新模型","现用模型")))</f>
        <v>现用模型</v>
      </c>
    </row>
    <row r="13" customFormat="false" ht="17.15" hidden="false" customHeight="false" outlineLevel="0" collapsed="false">
      <c r="A13" s="4" t="s">
        <v>19</v>
      </c>
      <c r="B13" s="4" t="s">
        <v>12</v>
      </c>
      <c r="C13" s="5" t="s">
        <v>13</v>
      </c>
      <c r="D13" s="6" t="n">
        <v>983</v>
      </c>
      <c r="E13" s="7" t="n">
        <v>0.017</v>
      </c>
      <c r="F13" s="7" t="n">
        <v>0.0214</v>
      </c>
      <c r="G13" s="8" t="n">
        <f aca="false">F13-E13</f>
        <v>0.0044</v>
      </c>
      <c r="H13" s="9" t="n">
        <f aca="false">IF(E13=0,"-",(F13-E13)/E13)</f>
        <v>0.258823529411765</v>
      </c>
      <c r="I13" s="5" t="str">
        <f aca="false">IF(F13=E13,"持平",IF(C13="越小越好",IF(F13&lt;E13,"新模型","现用模型"),IF(F13&gt;E13,"新模型","现用模型")))</f>
        <v>现用模型</v>
      </c>
    </row>
    <row r="14" customFormat="false" ht="17.15" hidden="false" customHeight="false" outlineLevel="0" collapsed="false">
      <c r="A14" s="4" t="s">
        <v>19</v>
      </c>
      <c r="B14" s="4" t="s">
        <v>14</v>
      </c>
      <c r="C14" s="5" t="s">
        <v>13</v>
      </c>
      <c r="D14" s="6" t="n">
        <v>983</v>
      </c>
      <c r="E14" s="7" t="n">
        <v>0.0199</v>
      </c>
      <c r="F14" s="7" t="n">
        <v>0.0258</v>
      </c>
      <c r="G14" s="8" t="n">
        <f aca="false">F14-E14</f>
        <v>0.0059</v>
      </c>
      <c r="H14" s="9" t="n">
        <f aca="false">IF(E14=0,"-",(F14-E14)/E14)</f>
        <v>0.296482412060301</v>
      </c>
      <c r="I14" s="5" t="str">
        <f aca="false">IF(F14=E14,"持平",IF(C14="越小越好",IF(F14&lt;E14,"新模型","现用模型"),IF(F14&gt;E14,"新模型","现用模型")))</f>
        <v>现用模型</v>
      </c>
    </row>
    <row r="15" customFormat="false" ht="17.15" hidden="false" customHeight="false" outlineLevel="0" collapsed="false">
      <c r="A15" s="4" t="s">
        <v>19</v>
      </c>
      <c r="B15" s="10" t="s">
        <v>15</v>
      </c>
      <c r="C15" s="5" t="s">
        <v>16</v>
      </c>
      <c r="D15" s="6" t="n">
        <v>983</v>
      </c>
      <c r="E15" s="11" t="n">
        <v>0.822</v>
      </c>
      <c r="F15" s="11" t="n">
        <v>0.699</v>
      </c>
      <c r="G15" s="9" t="n">
        <f aca="false">F15-E15</f>
        <v>-0.123</v>
      </c>
      <c r="H15" s="9" t="n">
        <f aca="false">IF(E15=0,"-",(F15-E15)/E15)</f>
        <v>-0.14963503649635</v>
      </c>
      <c r="I15" s="5" t="str">
        <f aca="false">IF(F15=E15,"持平",IF(C15="越小越好",IF(F15&lt;E15,"新模型","现用模型"),IF(F15&gt;E15,"新模型","现用模型")))</f>
        <v>现用模型</v>
      </c>
    </row>
    <row r="16" customFormat="false" ht="17.15" hidden="false" customHeight="false" outlineLevel="0" collapsed="false">
      <c r="A16" s="4" t="s">
        <v>19</v>
      </c>
      <c r="B16" s="10" t="s">
        <v>17</v>
      </c>
      <c r="C16" s="5" t="s">
        <v>16</v>
      </c>
      <c r="D16" s="6" t="n">
        <v>983</v>
      </c>
      <c r="E16" s="11" t="n">
        <v>0.965</v>
      </c>
      <c r="F16" s="11" t="n">
        <v>0.928</v>
      </c>
      <c r="G16" s="9" t="n">
        <f aca="false">F16-E16</f>
        <v>-0.0369999999999999</v>
      </c>
      <c r="H16" s="9" t="n">
        <f aca="false">IF(E16=0,"-",(F16-E16)/E16)</f>
        <v>-0.038341968911917</v>
      </c>
      <c r="I16" s="5" t="str">
        <f aca="false">IF(F16=E16,"持平",IF(C16="越小越好",IF(F16&lt;E16,"新模型","现用模型"),IF(F16&gt;E16,"新模型","现用模型")))</f>
        <v>现用模型</v>
      </c>
    </row>
    <row r="18" customFormat="false" ht="15" hidden="false" customHeight="false" outlineLevel="0" collapsed="false">
      <c r="A18" s="12" t="s">
        <v>20</v>
      </c>
    </row>
    <row r="19" customFormat="false" ht="15" hidden="false" customHeight="false" outlineLevel="0" collapsed="false">
      <c r="A19" s="13" t="s">
        <v>21</v>
      </c>
      <c r="E19" s="0" t="n">
        <f aca="false">COUNTIF(I5:I16,"现用模型")</f>
        <v>12</v>
      </c>
    </row>
    <row r="20" customFormat="false" ht="15" hidden="false" customHeight="false" outlineLevel="0" collapsed="false">
      <c r="A20" s="13" t="s">
        <v>22</v>
      </c>
      <c r="E20" s="0" t="n">
        <f aca="false">COUNTIF(I5:I16,"新模型")</f>
        <v>0</v>
      </c>
    </row>
    <row r="21" customFormat="false" ht="15" hidden="false" customHeight="false" outlineLevel="0" collapsed="false">
      <c r="A21" s="13" t="s">
        <v>23</v>
      </c>
      <c r="E21" s="12" t="str">
        <f aca="false">IF(E19&gt;E20,"保留现用模型","改用新模型")</f>
        <v>保留现用模型</v>
      </c>
    </row>
    <row r="23" customFormat="false" ht="15" hidden="false" customHeight="false" outlineLevel="0" collapsed="false">
      <c r="A23" s="14" t="s">
        <v>24</v>
      </c>
    </row>
    <row r="24" customFormat="false" ht="17.15" hidden="false" customHeight="false" outlineLevel="0" collapsed="false">
      <c r="A24" s="15" t="s">
        <v>25</v>
      </c>
    </row>
    <row r="25" customFormat="false" ht="17.15" hidden="false" customHeight="false" outlineLevel="0" collapsed="false">
      <c r="A25" s="15" t="s">
        <v>26</v>
      </c>
    </row>
    <row r="26" customFormat="false" ht="17.15" hidden="false" customHeight="false" outlineLevel="0" collapsed="false">
      <c r="A26" s="15" t="s">
        <v>27</v>
      </c>
    </row>
    <row r="27" customFormat="false" ht="17.15" hidden="false" customHeight="false" outlineLevel="0" collapsed="false">
      <c r="A27" s="15" t="s">
        <v>28</v>
      </c>
    </row>
  </sheetData>
  <mergeCells count="1">
    <mergeCell ref="A2:I2"/>
  </mergeCells>
  <conditionalFormatting sqref="I5:I16">
    <cfRule type="expression" priority="2" aboveAverage="0" equalAverage="0" bottom="0" percent="0" rank="0" text="" dxfId="0">
      <formula>I5="现用模型"</formula>
    </cfRule>
    <cfRule type="expression" priority="3" aboveAverage="0" equalAverage="0" bottom="0" percent="0" rank="0" text="" dxfId="1">
      <formula>I5="新模型"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44"/>
  </cols>
  <sheetData>
    <row r="1" customFormat="false" ht="17.15" hidden="false" customHeight="false" outlineLevel="0" collapsed="false">
      <c r="A1" s="16" t="s">
        <v>29</v>
      </c>
      <c r="B1" s="16" t="s">
        <v>30</v>
      </c>
      <c r="C1" s="16" t="s">
        <v>31</v>
      </c>
    </row>
    <row r="2" customFormat="false" ht="17.15" hidden="false" customHeight="false" outlineLevel="0" collapsed="false">
      <c r="A2" s="17" t="s">
        <v>32</v>
      </c>
      <c r="B2" s="18" t="s">
        <v>33</v>
      </c>
      <c r="C2" s="19" t="s">
        <v>34</v>
      </c>
    </row>
    <row r="3" customFormat="false" ht="17.15" hidden="false" customHeight="false" outlineLevel="0" collapsed="false">
      <c r="A3" s="17" t="s">
        <v>35</v>
      </c>
      <c r="B3" s="18" t="s">
        <v>36</v>
      </c>
      <c r="C3" s="18" t="s">
        <v>37</v>
      </c>
    </row>
    <row r="4" customFormat="false" ht="17.15" hidden="false" customHeight="false" outlineLevel="0" collapsed="false">
      <c r="A4" s="17" t="s">
        <v>38</v>
      </c>
      <c r="B4" s="18" t="s">
        <v>39</v>
      </c>
      <c r="C4" s="18" t="s">
        <v>40</v>
      </c>
    </row>
    <row r="5" customFormat="false" ht="17.15" hidden="false" customHeight="false" outlineLevel="0" collapsed="false">
      <c r="A5" s="17" t="s">
        <v>41</v>
      </c>
      <c r="B5" s="18" t="s">
        <v>42</v>
      </c>
      <c r="C5" s="18" t="s">
        <v>43</v>
      </c>
    </row>
    <row r="6" customFormat="false" ht="17.15" hidden="false" customHeight="false" outlineLevel="0" collapsed="false">
      <c r="A6" s="17" t="s">
        <v>44</v>
      </c>
      <c r="B6" s="19" t="s">
        <v>45</v>
      </c>
      <c r="C6" s="18" t="s">
        <v>46</v>
      </c>
    </row>
    <row r="7" customFormat="false" ht="17.15" hidden="false" customHeight="false" outlineLevel="0" collapsed="false">
      <c r="A7" s="17" t="s">
        <v>47</v>
      </c>
      <c r="B7" s="18" t="s">
        <v>48</v>
      </c>
      <c r="C7" s="18" t="s">
        <v>48</v>
      </c>
    </row>
    <row r="8" customFormat="false" ht="17.15" hidden="false" customHeight="false" outlineLevel="0" collapsed="false">
      <c r="A8" s="17" t="s">
        <v>49</v>
      </c>
      <c r="B8" s="18" t="s">
        <v>50</v>
      </c>
      <c r="C8" s="18" t="s">
        <v>51</v>
      </c>
    </row>
    <row r="9" customFormat="false" ht="32.8" hidden="false" customHeight="false" outlineLevel="0" collapsed="false">
      <c r="A9" s="17" t="s">
        <v>52</v>
      </c>
      <c r="B9" s="18" t="s">
        <v>53</v>
      </c>
      <c r="C9" s="18" t="s">
        <v>54</v>
      </c>
    </row>
    <row r="10" customFormat="false" ht="17.15" hidden="false" customHeight="false" outlineLevel="0" collapsed="false">
      <c r="A10" s="17" t="s">
        <v>55</v>
      </c>
      <c r="B10" s="18" t="s">
        <v>56</v>
      </c>
      <c r="C10" s="19" t="s">
        <v>57</v>
      </c>
    </row>
    <row r="11" customFormat="false" ht="17.15" hidden="false" customHeight="false" outlineLevel="0" collapsed="false">
      <c r="A11" s="20" t="s">
        <v>58</v>
      </c>
      <c r="B11" s="19" t="s">
        <v>59</v>
      </c>
      <c r="C11" s="19" t="s">
        <v>60</v>
      </c>
    </row>
    <row r="13" customFormat="false" ht="17.15" hidden="false" customHeight="false" outlineLevel="0" collapsed="false">
      <c r="A13" s="2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2026-10-13T10:05:35Z</dcterms:created>
  <dc:creator>openpyxl</dc:creator>
  <dc:description/>
  <dc:language>en-US</dc:language>
  <cp:lastModifiedBy/>
  <dcterms:modified xsi:type="dcterms:W3CDTF">2026-10-13T10:05:35Z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